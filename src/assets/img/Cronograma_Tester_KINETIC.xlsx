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3174620E27961F5/Documentos/"/>
    </mc:Choice>
  </mc:AlternateContent>
  <xr:revisionPtr revIDLastSave="144" documentId="8_{7B447F59-D558-47AC-A6D7-E1BA7463AA03}" xr6:coauthVersionLast="47" xr6:coauthVersionMax="47" xr10:uidLastSave="{D2AB8DBD-2C3C-4656-BD38-D5AA23105EAB}"/>
  <bookViews>
    <workbookView minimized="1" xWindow="6330" yWindow="3015" windowWidth="11505" windowHeight="7785" tabRatio="500" xr2:uid="{00000000-000D-0000-FFFF-FFFF00000000}"/>
  </bookViews>
  <sheets>
    <sheet name="Cronograma_Tester" sheetId="1" r:id="rId1"/>
    <sheet name="Casos_de_Prueba" sheetId="2" r:id="rId2"/>
    <sheet name="Gestion_Riesgos" sheetId="3" r:id="rId3"/>
    <sheet name="medios" sheetId="7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" i="2" l="1"/>
  <c r="E23" i="1"/>
  <c r="E22" i="1"/>
  <c r="E21" i="1"/>
  <c r="E20" i="1"/>
  <c r="E19" i="1"/>
</calcChain>
</file>

<file path=xl/sharedStrings.xml><?xml version="1.0" encoding="utf-8"?>
<sst xmlns="http://schemas.openxmlformats.org/spreadsheetml/2006/main" count="198" uniqueCount="143">
  <si>
    <t>CRONOGRAMA DE MONITOREO DE PRUEBAS — TESTER KINETIC</t>
  </si>
  <si>
    <t>Tester Responsable:</t>
  </si>
  <si>
    <t>Elvia Alicia García García</t>
  </si>
  <si>
    <t>Equipo Monitoreado:</t>
  </si>
  <si>
    <t>KINETIC — Diego Blanco Rodríguez (Líder), Aaron Gallardo Malpica (Dev), Erick Daniel Vargas Corona (DBA)</t>
  </si>
  <si>
    <t>Frecuencia de Reuniones:</t>
  </si>
  <si>
    <t>Lunes (inicio de revisión semanal) y Viernes (cierre/aprobación semanal)</t>
  </si>
  <si>
    <t>Fecha de Inicio:</t>
  </si>
  <si>
    <t>Lunes 29 de junio de 2026</t>
  </si>
  <si>
    <t>Mecanismo de Reporte:</t>
  </si>
  <si>
    <t>Reporte de errores entregado en máximo 24 horas tras cada revisión de lunes</t>
  </si>
  <si>
    <t>No.</t>
  </si>
  <si>
    <t>Fecha</t>
  </si>
  <si>
    <t>Día / Tipo de Reunión</t>
  </si>
  <si>
    <t>Módulo(s) a Revisar</t>
  </si>
  <si>
    <t>Actividad del Tester</t>
  </si>
  <si>
    <t>Estado</t>
  </si>
  <si>
    <t>Responsable Equipo</t>
  </si>
  <si>
    <t>Observaciones / Acta</t>
  </si>
  <si>
    <t>29/06/2026</t>
  </si>
  <si>
    <t>LUNES — Reunión de Inicio (Revisión)</t>
  </si>
  <si>
    <t>Completada</t>
  </si>
  <si>
    <t>03/07/2026</t>
  </si>
  <si>
    <t>VIERNES — Reunión de Cierre (Aprobación Semana 1)</t>
  </si>
  <si>
    <t>06/07/2026</t>
  </si>
  <si>
    <t>10/07/2026</t>
  </si>
  <si>
    <t>VIERNES — Reunión de Cierre (Aprobación Semana 2)</t>
  </si>
  <si>
    <t>13/07/2026</t>
  </si>
  <si>
    <t>17/07/2026</t>
  </si>
  <si>
    <t>VIERNES — Reunión de Cierre (Aprobación Semana 3)</t>
  </si>
  <si>
    <t>20/07/2026</t>
  </si>
  <si>
    <t>Indicador</t>
  </si>
  <si>
    <t>Valor</t>
  </si>
  <si>
    <t>Total de reuniones programadas</t>
  </si>
  <si>
    <t>Reuniones completadas</t>
  </si>
  <si>
    <t>Reuniones programadas (pendientes)</t>
  </si>
  <si>
    <t>Reuniones reprogramadas</t>
  </si>
  <si>
    <t>% de avance del ciclo</t>
  </si>
  <si>
    <t>Duración total del ciclo (semanas)</t>
  </si>
  <si>
    <t>Fecha de cierre estimada</t>
  </si>
  <si>
    <t>CASOS DE PRUEBA — MONITOREO TESTER KINETIC</t>
  </si>
  <si>
    <t>ID</t>
  </si>
  <si>
    <t>Módulo</t>
  </si>
  <si>
    <t>Caso de Prueba</t>
  </si>
  <si>
    <t>Tipo</t>
  </si>
  <si>
    <t>Prioridad</t>
  </si>
  <si>
    <t>Criterio de Aceptación</t>
  </si>
  <si>
    <t>CP-01</t>
  </si>
  <si>
    <t>Alta</t>
  </si>
  <si>
    <t>Programado</t>
  </si>
  <si>
    <t>CP-02</t>
  </si>
  <si>
    <t>Funcional</t>
  </si>
  <si>
    <t>Media</t>
  </si>
  <si>
    <t>CP-03</t>
  </si>
  <si>
    <t>CP-04</t>
  </si>
  <si>
    <t>CP-05</t>
  </si>
  <si>
    <t>CP-06</t>
  </si>
  <si>
    <t>CP-07</t>
  </si>
  <si>
    <t>TOTAL CASOS DE PRUEBA</t>
  </si>
  <si>
    <t>GESTIÓN DE RIESGOS — MONITOREO DE PRUEBAS KINETIC</t>
  </si>
  <si>
    <t>Riesgo Identificado</t>
  </si>
  <si>
    <t>Prob.</t>
  </si>
  <si>
    <t>Impacto</t>
  </si>
  <si>
    <t>Nivel</t>
  </si>
  <si>
    <t>Mitigación / Plan de Acción de la Tester</t>
  </si>
  <si>
    <t>R-01</t>
  </si>
  <si>
    <t>Retraso del equipo en aplicar correcciones tras el reporte de errores de 24 hrs.</t>
  </si>
  <si>
    <t>Alto</t>
  </si>
  <si>
    <t>ALTO</t>
  </si>
  <si>
    <t>Escalar a la reunión del viernes; documentar el retraso en el acta y reprogramar la aprobación a la siguiente semana.</t>
  </si>
  <si>
    <t>R-02</t>
  </si>
  <si>
    <t>Indisponibilidad del equipo o de la tester en la fecha programada (lunes o viernes).</t>
  </si>
  <si>
    <t>Baja</t>
  </si>
  <si>
    <t>Medio</t>
  </si>
  <si>
    <t>MEDIO</t>
  </si>
  <si>
    <t>Reprogramar la reunión dentro de las siguientes 48 horas y notificar por el canal oficial del equipo.</t>
  </si>
  <si>
    <t>R-03</t>
  </si>
  <si>
    <t>Caída del servicio Supabase o de las APIs externas durante una sesión de prueba.</t>
  </si>
  <si>
    <t>Posponer la prueba afectada a la siguiente sesión disponible; documentar la causa en el acta.</t>
  </si>
  <si>
    <t>R-04</t>
  </si>
  <si>
    <t>Vulnerabilidades de seguridad críticas detectadas por MobSF que no se corrigen a tiempo.</t>
  </si>
  <si>
    <t>No aprobar el módulo de seguridad hasta confirmar la corrección; reportar de inmediato al líder del proyecto.</t>
  </si>
  <si>
    <t>R-05</t>
  </si>
  <si>
    <t>Pérdida o corrupción de datos durante el simulacro de restauración de base de datos.</t>
  </si>
  <si>
    <t>Ejecutar el simulacro únicamente sobre un entorno de prueba aislado, nunca sobre producción real.</t>
  </si>
  <si>
    <t>R-06</t>
  </si>
  <si>
    <t>Falta de evidencia o documentación suficiente para aprobar un módulo.</t>
  </si>
  <si>
    <t>Solicitar evidencia adicional (capturas, logs, reportes) antes de marcar el módulo como aprobado.</t>
  </si>
  <si>
    <t>R-07</t>
  </si>
  <si>
    <t>Mantener comunicación constante por el canal oficial; confirmar fechas al inicio de cada semana.</t>
  </si>
  <si>
    <t>Gestión de autenticación y sesión</t>
  </si>
  <si>
    <t xml:space="preserve"> Diego Blanco</t>
  </si>
  <si>
    <t xml:space="preserve">Revisar que el sistema permita el registro (a nuevos usuarios), inicio de sesión y recuperación de
contraseña </t>
  </si>
  <si>
    <t>Gestión de perfil de usuario</t>
  </si>
  <si>
    <t>Revisar que el sistema permita al usuario,  ver y modificar su nombre, datos personales y preferencias de la app desde una pantalla de perfil accesible desde el dashboard principal.</t>
  </si>
  <si>
    <t xml:space="preserve">Acta de reunión 1 levantada. Primera sesión de monitoreo formal del proyecto KINETIC. Se monitoreo conforme al RF 01.  </t>
  </si>
  <si>
    <t>Monitoreo conforme al RF 02</t>
  </si>
  <si>
    <t>Biblioteca de ejercicios</t>
  </si>
  <si>
    <t>Revisar que el sistema muestre el catálogo de ejercicios con nombre, descripción, instrucciones paso a paso en español, categoría muscular y nivel de dificultad. Revisar que el usuario pueda filtrar y buscar ejercicios.</t>
  </si>
  <si>
    <t>Diego Blanco</t>
  </si>
  <si>
    <t>Monitoreo conforme al RF 03</t>
  </si>
  <si>
    <t>Calculadora de rendimiento físico PR / 1RM</t>
  </si>
  <si>
    <t xml:space="preserve">Revisar que el usuario al ingresar el peso levantado y el número de repeticiones realizadas. El sistema calculará 1RM = peso × (1 + repeticiones / 30) y mostrará el resultado con una interpretación comprensible. </t>
  </si>
  <si>
    <t>Monitoeado conforme al RF 04</t>
  </si>
  <si>
    <t>Seguimiento historico de progreso</t>
  </si>
  <si>
    <t>Revisar que el usuario pueda registrar sesiones indicando ejercicio, peso y repeticiones. Verificar que el historial se mostrará en orden cronológico y mediante gráficas de línea y barras generadas con una librería de charts.</t>
  </si>
  <si>
    <t>Monitoeado conforme al RF 05</t>
  </si>
  <si>
    <t>Directorio georreferenciado de gimnasios</t>
  </si>
  <si>
    <t>Revisar que el sistema muestre un mapa interactivo con marcadores de gimnasios y espacios deportivos cercanos, y un listado ordenado por proximidad al usuario.</t>
  </si>
  <si>
    <t>Monitoeado conforme al RF 06</t>
  </si>
  <si>
    <t>Dashboard principal unificado</t>
  </si>
  <si>
    <t>Verificar qu el sistema presente una pantalla de inicio centralizada con acceso rápido a todos los módulos de la app sin redirecciones externas.</t>
  </si>
  <si>
    <t>Monitoeado conforme al RF 06.    El dashboard mostrará accesos directos a: Biblioteca de ejercicios, Calculadora PR, Historial de progreso y Directorio</t>
  </si>
  <si>
    <t>LUNES — Reunión de Cierre (Aprobación Semana 4)</t>
  </si>
  <si>
    <t>Diego Blanco Rodríguez</t>
  </si>
  <si>
    <t>Onboarding para nuevos usuarios</t>
  </si>
  <si>
    <t>Verificar que el sistema presente pantallas de bienvenida e introducción para guiar al usuario nuevo en su primera apertura de la app</t>
  </si>
  <si>
    <t>Monitoreo conforme al RF 08</t>
  </si>
  <si>
    <t>Verificar que el usuario al instalar por primera vez la app, se pueda registrar de manera exitosa, pueda hacer inicio de sesión y recuperación de
contraseña, y al entrar a la pantalla principal el usuario pueda ver las pantalla de bienvenida e introducción asi como tambien debe mostrar un menú de acceso rapido a todos los modulos del sistema</t>
  </si>
  <si>
    <t>Cambios no comunicados en el cronograma del equipo que afecten las fechas de revisión del tester.</t>
  </si>
  <si>
    <t>Whatsapp</t>
  </si>
  <si>
    <t>Correo Institucional</t>
  </si>
  <si>
    <t>Word (para la parte de documentación de reportes )</t>
  </si>
  <si>
    <t>Exel (para el cronograma planeado)</t>
  </si>
  <si>
    <t>Dispositivo android (para monitoriar las pruebas de testing)</t>
  </si>
  <si>
    <t>Postman(solo si es necesario para probar las apis ocupadas )</t>
  </si>
  <si>
    <t>Completado</t>
  </si>
  <si>
    <t>RESUMEN DEL CICLO DE MONITOREO</t>
  </si>
  <si>
    <t>El usuario accede con éxito al inicio e sesión, se le permite la recuperacion de contraseña.</t>
  </si>
  <si>
    <t>Gestión de perfil de usuarios</t>
  </si>
  <si>
    <t>El sistema permita al usuario,  ver y modificar su nombre, datos personales y preferencias de la app desde una pantalla de perfil accesible desde el dashboard principal</t>
  </si>
  <si>
    <t>El usuario puede modificar su información de perfil, y se guarda con éxito</t>
  </si>
  <si>
    <t>el sistema debe muestrar el catálogo de ejercicios con nombre, descripción, instrucciones paso a paso en español, categoría muscular y nivel de dificultad.</t>
  </si>
  <si>
    <t>El usuario puede filtrar y buscar ejercicios.</t>
  </si>
  <si>
    <t xml:space="preserve"> el usuario al ingresar el peso levantado y el número de repeticiones realizadas, ell sistema calculará 1RM = peso × (1 + repeticiones / 30) y mostrará el resultado con una interpretación comprensible. </t>
  </si>
  <si>
    <t>Se muestran los resultados en datos comprensibles para el usuario</t>
  </si>
  <si>
    <t>el sistema debe mostrar un mapa interactivo con marcadores de gimnasios y espacios deportivos cercanos, y un listado ordenado por proximidad al usuario.</t>
  </si>
  <si>
    <t>Se muestra el mapa interactivo con los con los espacios deportivos disponibles.</t>
  </si>
  <si>
    <t>El usuario puede registrar sesiones indicando ejercicio, peso y repeticiones.</t>
  </si>
  <si>
    <t>El historial se mostrará en orden cronológico y mediante gráficas de línea y barras generadas con una librería de charts..</t>
  </si>
  <si>
    <t>el sistema tiene pantallas de bienvenida e introducción para guiar al usuario nuevo en su primera apertura de la app</t>
  </si>
  <si>
    <t>Pantalla de beinvenida e introducción</t>
  </si>
  <si>
    <t>Casos derivados de los módulos entregados por el equipo en el Plan Formal de Despliegue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</si>
</sst>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0F3D3E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i/>
      <sz val="10"/>
      <color rgb="FF0F3D3E"/>
      <name val="Arial"/>
      <charset val="1"/>
    </font>
    <font>
      <b/>
      <sz val="11"/>
      <color rgb="FFFFFFFF"/>
      <name val="Arial"/>
      <charset val="1"/>
    </font>
    <font>
      <b/>
      <sz val="10"/>
      <color rgb="FF1B6B6B"/>
      <name val="Arial"/>
      <charset val="1"/>
    </font>
    <font>
      <b/>
      <sz val="13"/>
      <color rgb="FFFFFF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0F3D3E"/>
        <bgColor rgb="FF333333"/>
      </patternFill>
    </fill>
    <fill>
      <patternFill patternType="solid">
        <fgColor rgb="FFE8F5F5"/>
        <bgColor rgb="FFDCEFEF"/>
      </patternFill>
    </fill>
    <fill>
      <patternFill patternType="solid">
        <fgColor rgb="FFFFFFFF"/>
        <bgColor rgb="FFE8F5F5"/>
      </patternFill>
    </fill>
    <fill>
      <patternFill patternType="solid">
        <fgColor rgb="FFD5F5E3"/>
        <bgColor rgb="FFDCEFEF"/>
      </patternFill>
    </fill>
    <fill>
      <patternFill patternType="solid">
        <fgColor rgb="FFDCEFEF"/>
        <bgColor rgb="FFD5F5E3"/>
      </patternFill>
    </fill>
    <fill>
      <patternFill patternType="solid">
        <fgColor rgb="FFFDEBD0"/>
        <bgColor rgb="FFE8F5F5"/>
      </patternFill>
    </fill>
    <fill>
      <patternFill patternType="solid">
        <fgColor rgb="FF1B6B6B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14" fontId="8" fillId="4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6B6B"/>
      <rgbColor rgb="FFB0B0B0"/>
      <rgbColor rgb="FF808080"/>
      <rgbColor rgb="FF9999FF"/>
      <rgbColor rgb="FF993366"/>
      <rgbColor rgb="FFFDEBD0"/>
      <rgbColor rgb="FFDC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F5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0F3D3E"/>
      <rgbColor rgb="FF339966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tabSelected="1" zoomScaleNormal="100" workbookViewId="0">
      <pane ySplit="7" topLeftCell="A21" activePane="bottomLeft" state="frozen"/>
      <selection pane="bottomLeft" activeCell="A28" sqref="A28"/>
    </sheetView>
  </sheetViews>
  <sheetFormatPr baseColWidth="10" defaultColWidth="8.7109375" defaultRowHeight="15" x14ac:dyDescent="0.25"/>
  <cols>
    <col min="1" max="1" width="12" customWidth="1"/>
    <col min="2" max="2" width="14" customWidth="1"/>
    <col min="3" max="4" width="34" customWidth="1"/>
    <col min="5" max="5" width="28.5703125" customWidth="1"/>
    <col min="6" max="6" width="14" customWidth="1"/>
    <col min="7" max="7" width="24" customWidth="1"/>
    <col min="8" max="8" width="30" customWidth="1"/>
  </cols>
  <sheetData>
    <row r="1" spans="1:8" ht="31.5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</row>
    <row r="2" spans="1:8" ht="15.75" customHeight="1" x14ac:dyDescent="0.25">
      <c r="A2" s="19" t="s">
        <v>1</v>
      </c>
      <c r="B2" s="19"/>
      <c r="C2" s="20" t="s">
        <v>2</v>
      </c>
      <c r="D2" s="20"/>
      <c r="E2" s="20"/>
      <c r="F2" s="20"/>
      <c r="G2" s="20"/>
      <c r="H2" s="20"/>
    </row>
    <row r="3" spans="1:8" ht="15.75" customHeight="1" x14ac:dyDescent="0.25">
      <c r="A3" s="19" t="s">
        <v>3</v>
      </c>
      <c r="B3" s="19"/>
      <c r="C3" s="20" t="s">
        <v>4</v>
      </c>
      <c r="D3" s="20"/>
      <c r="E3" s="20"/>
      <c r="F3" s="20"/>
      <c r="G3" s="20"/>
      <c r="H3" s="20"/>
    </row>
    <row r="4" spans="1:8" ht="15.75" customHeight="1" x14ac:dyDescent="0.25">
      <c r="A4" s="19" t="s">
        <v>5</v>
      </c>
      <c r="B4" s="19"/>
      <c r="C4" s="20" t="s">
        <v>6</v>
      </c>
      <c r="D4" s="20"/>
      <c r="E4" s="20"/>
      <c r="F4" s="20"/>
      <c r="G4" s="20"/>
      <c r="H4" s="20"/>
    </row>
    <row r="5" spans="1:8" ht="15.75" customHeight="1" x14ac:dyDescent="0.25">
      <c r="A5" s="19" t="s">
        <v>7</v>
      </c>
      <c r="B5" s="19"/>
      <c r="C5" s="20" t="s">
        <v>8</v>
      </c>
      <c r="D5" s="20"/>
      <c r="E5" s="20"/>
      <c r="F5" s="20"/>
      <c r="G5" s="20"/>
      <c r="H5" s="20"/>
    </row>
    <row r="6" spans="1:8" ht="15.75" customHeight="1" x14ac:dyDescent="0.25">
      <c r="A6" s="19" t="s">
        <v>9</v>
      </c>
      <c r="B6" s="19"/>
      <c r="C6" s="20" t="s">
        <v>10</v>
      </c>
      <c r="D6" s="20"/>
      <c r="E6" s="20"/>
      <c r="F6" s="20"/>
      <c r="G6" s="20"/>
      <c r="H6" s="20"/>
    </row>
    <row r="7" spans="1:8" ht="30" customHeight="1" x14ac:dyDescent="0.25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</row>
    <row r="8" spans="1:8" ht="60" customHeight="1" x14ac:dyDescent="0.25">
      <c r="A8" s="4">
        <v>1</v>
      </c>
      <c r="B8" s="5" t="s">
        <v>19</v>
      </c>
      <c r="C8" s="2" t="s">
        <v>20</v>
      </c>
      <c r="D8" s="2" t="s">
        <v>90</v>
      </c>
      <c r="E8" s="2" t="s">
        <v>92</v>
      </c>
      <c r="F8" s="6" t="s">
        <v>21</v>
      </c>
      <c r="G8" s="2" t="s">
        <v>91</v>
      </c>
      <c r="H8" s="2" t="s">
        <v>95</v>
      </c>
    </row>
    <row r="9" spans="1:8" ht="60" customHeight="1" x14ac:dyDescent="0.25">
      <c r="A9" s="7">
        <v>2</v>
      </c>
      <c r="B9" s="8" t="s">
        <v>22</v>
      </c>
      <c r="C9" s="9" t="s">
        <v>23</v>
      </c>
      <c r="D9" s="9" t="s">
        <v>93</v>
      </c>
      <c r="E9" s="9" t="s">
        <v>94</v>
      </c>
      <c r="F9" s="10" t="s">
        <v>21</v>
      </c>
      <c r="G9" s="9" t="s">
        <v>91</v>
      </c>
      <c r="H9" s="9" t="s">
        <v>96</v>
      </c>
    </row>
    <row r="10" spans="1:8" ht="60" customHeight="1" x14ac:dyDescent="0.25">
      <c r="A10" s="4">
        <v>3</v>
      </c>
      <c r="B10" s="5" t="s">
        <v>24</v>
      </c>
      <c r="C10" s="2" t="s">
        <v>20</v>
      </c>
      <c r="D10" s="2" t="s">
        <v>97</v>
      </c>
      <c r="E10" s="2" t="s">
        <v>98</v>
      </c>
      <c r="F10" s="10" t="s">
        <v>21</v>
      </c>
      <c r="G10" s="2" t="s">
        <v>99</v>
      </c>
      <c r="H10" s="2" t="s">
        <v>100</v>
      </c>
    </row>
    <row r="11" spans="1:8" ht="60" customHeight="1" x14ac:dyDescent="0.25">
      <c r="A11" s="7">
        <v>4</v>
      </c>
      <c r="B11" s="8" t="s">
        <v>25</v>
      </c>
      <c r="C11" s="9" t="s">
        <v>26</v>
      </c>
      <c r="D11" s="9" t="s">
        <v>101</v>
      </c>
      <c r="E11" s="9" t="s">
        <v>102</v>
      </c>
      <c r="F11" s="10" t="s">
        <v>21</v>
      </c>
      <c r="G11" s="9" t="s">
        <v>91</v>
      </c>
      <c r="H11" s="9" t="s">
        <v>103</v>
      </c>
    </row>
    <row r="12" spans="1:8" ht="60" customHeight="1" x14ac:dyDescent="0.25">
      <c r="A12" s="4">
        <v>5</v>
      </c>
      <c r="B12" s="5" t="s">
        <v>27</v>
      </c>
      <c r="C12" s="2" t="s">
        <v>20</v>
      </c>
      <c r="D12" s="2" t="s">
        <v>104</v>
      </c>
      <c r="E12" s="2" t="s">
        <v>105</v>
      </c>
      <c r="F12" s="10" t="s">
        <v>21</v>
      </c>
      <c r="G12" s="2" t="s">
        <v>99</v>
      </c>
      <c r="H12" s="2" t="s">
        <v>106</v>
      </c>
    </row>
    <row r="13" spans="1:8" ht="60" customHeight="1" x14ac:dyDescent="0.25">
      <c r="A13" s="7">
        <v>6</v>
      </c>
      <c r="B13" s="8" t="s">
        <v>28</v>
      </c>
      <c r="C13" s="9" t="s">
        <v>29</v>
      </c>
      <c r="D13" s="9" t="s">
        <v>107</v>
      </c>
      <c r="E13" s="9" t="s">
        <v>108</v>
      </c>
      <c r="F13" s="10" t="s">
        <v>21</v>
      </c>
      <c r="G13" s="9" t="s">
        <v>99</v>
      </c>
      <c r="H13" s="9" t="s">
        <v>109</v>
      </c>
    </row>
    <row r="14" spans="1:8" ht="60" customHeight="1" x14ac:dyDescent="0.25">
      <c r="A14" s="4">
        <v>7</v>
      </c>
      <c r="B14" s="5" t="s">
        <v>30</v>
      </c>
      <c r="C14" s="2" t="s">
        <v>20</v>
      </c>
      <c r="D14" s="2" t="s">
        <v>110</v>
      </c>
      <c r="E14" s="2" t="s">
        <v>111</v>
      </c>
      <c r="F14" s="10" t="s">
        <v>21</v>
      </c>
      <c r="G14" s="2" t="s">
        <v>114</v>
      </c>
      <c r="H14" s="2" t="s">
        <v>112</v>
      </c>
    </row>
    <row r="15" spans="1:8" ht="60" customHeight="1" x14ac:dyDescent="0.25">
      <c r="A15" s="7">
        <v>8</v>
      </c>
      <c r="B15" s="17">
        <v>46223</v>
      </c>
      <c r="C15" s="9" t="s">
        <v>113</v>
      </c>
      <c r="D15" s="9" t="s">
        <v>115</v>
      </c>
      <c r="E15" s="9" t="s">
        <v>116</v>
      </c>
      <c r="F15" s="10" t="s">
        <v>21</v>
      </c>
      <c r="G15" s="9" t="s">
        <v>99</v>
      </c>
      <c r="H15" s="9" t="s">
        <v>117</v>
      </c>
    </row>
    <row r="17" spans="1:8" ht="19.5" customHeight="1" x14ac:dyDescent="0.25">
      <c r="A17" s="21" t="s">
        <v>127</v>
      </c>
      <c r="B17" s="21"/>
      <c r="C17" s="21"/>
      <c r="D17" s="21"/>
      <c r="E17" s="21"/>
      <c r="F17" s="21"/>
      <c r="G17" s="21"/>
      <c r="H17" s="21"/>
    </row>
    <row r="18" spans="1:8" ht="30" customHeight="1" x14ac:dyDescent="0.25">
      <c r="A18" s="3" t="s">
        <v>31</v>
      </c>
      <c r="B18" s="3" t="s">
        <v>32</v>
      </c>
      <c r="C18" s="3"/>
      <c r="D18" s="3"/>
      <c r="E18" s="3"/>
      <c r="F18" s="3"/>
      <c r="G18" s="3"/>
      <c r="H18" s="3"/>
    </row>
    <row r="19" spans="1:8" x14ac:dyDescent="0.25">
      <c r="A19" s="19" t="s">
        <v>33</v>
      </c>
      <c r="B19" s="19"/>
      <c r="C19" s="19"/>
      <c r="D19" s="19"/>
      <c r="E19" s="22">
        <f>COUNTA(B8:B15)</f>
        <v>8</v>
      </c>
      <c r="F19" s="22"/>
      <c r="G19" s="22"/>
      <c r="H19" s="22"/>
    </row>
    <row r="20" spans="1:8" x14ac:dyDescent="0.25">
      <c r="A20" s="19" t="s">
        <v>34</v>
      </c>
      <c r="B20" s="19"/>
      <c r="C20" s="19"/>
      <c r="D20" s="19"/>
      <c r="E20" s="22">
        <f>COUNTIF(F8:F15,"Completada")</f>
        <v>8</v>
      </c>
      <c r="F20" s="22"/>
      <c r="G20" s="22"/>
      <c r="H20" s="22"/>
    </row>
    <row r="21" spans="1:8" x14ac:dyDescent="0.25">
      <c r="A21" s="19" t="s">
        <v>35</v>
      </c>
      <c r="B21" s="19"/>
      <c r="C21" s="19"/>
      <c r="D21" s="19"/>
      <c r="E21" s="22">
        <f>COUNTIF(F8:F15,"Programada")</f>
        <v>0</v>
      </c>
      <c r="F21" s="22"/>
      <c r="G21" s="22"/>
      <c r="H21" s="22"/>
    </row>
    <row r="22" spans="1:8" x14ac:dyDescent="0.25">
      <c r="A22" s="19" t="s">
        <v>36</v>
      </c>
      <c r="B22" s="19"/>
      <c r="C22" s="19"/>
      <c r="D22" s="19"/>
      <c r="E22" s="22">
        <f>COUNTIF(F8:F15,"Reprogramada")</f>
        <v>0</v>
      </c>
      <c r="F22" s="22"/>
      <c r="G22" s="22"/>
      <c r="H22" s="22"/>
    </row>
    <row r="23" spans="1:8" x14ac:dyDescent="0.25">
      <c r="A23" s="19" t="s">
        <v>37</v>
      </c>
      <c r="B23" s="19"/>
      <c r="C23" s="19"/>
      <c r="D23" s="19"/>
      <c r="E23" s="22" t="str">
        <f>ROUND(COUNTIF(F8:F15,"Completada")/COUNTA(B8:B15)*100,1)&amp;"%"</f>
        <v>100%</v>
      </c>
      <c r="F23" s="22"/>
      <c r="G23" s="22"/>
      <c r="H23" s="22"/>
    </row>
    <row r="24" spans="1:8" x14ac:dyDescent="0.25">
      <c r="A24" s="19" t="s">
        <v>38</v>
      </c>
      <c r="B24" s="19"/>
      <c r="C24" s="19"/>
      <c r="D24" s="19"/>
      <c r="E24" s="22">
        <v>5</v>
      </c>
      <c r="F24" s="22"/>
      <c r="G24" s="22"/>
      <c r="H24" s="22"/>
    </row>
    <row r="25" spans="1:8" x14ac:dyDescent="0.25">
      <c r="A25" s="19" t="s">
        <v>39</v>
      </c>
      <c r="B25" s="19"/>
      <c r="C25" s="19"/>
      <c r="D25" s="19"/>
      <c r="E25" s="23">
        <v>46223</v>
      </c>
      <c r="F25" s="22"/>
      <c r="G25" s="22"/>
      <c r="H25" s="22"/>
    </row>
  </sheetData>
  <mergeCells count="26">
    <mergeCell ref="A24:D24"/>
    <mergeCell ref="E24:H24"/>
    <mergeCell ref="A25:D25"/>
    <mergeCell ref="E25:H25"/>
    <mergeCell ref="A21:D21"/>
    <mergeCell ref="E21:H21"/>
    <mergeCell ref="A22:D22"/>
    <mergeCell ref="E22:H22"/>
    <mergeCell ref="A23:D23"/>
    <mergeCell ref="E23:H23"/>
    <mergeCell ref="A17:H17"/>
    <mergeCell ref="A19:D19"/>
    <mergeCell ref="E19:H19"/>
    <mergeCell ref="A20:D20"/>
    <mergeCell ref="E20:H20"/>
    <mergeCell ref="A4:B4"/>
    <mergeCell ref="C4:H4"/>
    <mergeCell ref="A5:B5"/>
    <mergeCell ref="C5:H5"/>
    <mergeCell ref="A6:B6"/>
    <mergeCell ref="C6:H6"/>
    <mergeCell ref="A1:H1"/>
    <mergeCell ref="A2:B2"/>
    <mergeCell ref="C2:H2"/>
    <mergeCell ref="A3:B3"/>
    <mergeCell ref="C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showGridLines="0" zoomScaleNormal="100" workbookViewId="0">
      <pane ySplit="5" topLeftCell="A8" activePane="bottomLeft" state="frozen"/>
      <selection pane="bottomLeft" activeCell="A2" sqref="A2:G2"/>
    </sheetView>
  </sheetViews>
  <sheetFormatPr baseColWidth="10" defaultColWidth="8.7109375" defaultRowHeight="15" x14ac:dyDescent="0.25"/>
  <cols>
    <col min="1" max="1" width="8" customWidth="1"/>
    <col min="2" max="3" width="34" customWidth="1"/>
    <col min="4" max="5" width="14" customWidth="1"/>
    <col min="6" max="6" width="34" customWidth="1"/>
    <col min="7" max="7" width="14" customWidth="1"/>
  </cols>
  <sheetData>
    <row r="1" spans="1:7" ht="30" customHeight="1" x14ac:dyDescent="0.25">
      <c r="A1" s="18" t="s">
        <v>40</v>
      </c>
      <c r="B1" s="18"/>
      <c r="C1" s="18"/>
      <c r="D1" s="18"/>
      <c r="E1" s="18"/>
      <c r="F1" s="18"/>
      <c r="G1" s="18"/>
    </row>
    <row r="2" spans="1:7" x14ac:dyDescent="0.25">
      <c r="A2" s="24" t="s">
        <v>142</v>
      </c>
      <c r="B2" s="24"/>
      <c r="C2" s="24"/>
      <c r="D2" s="24"/>
      <c r="E2" s="24"/>
      <c r="F2" s="24"/>
      <c r="G2" s="24"/>
    </row>
    <row r="4" spans="1:7" ht="30" customHeight="1" x14ac:dyDescent="0.25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16</v>
      </c>
    </row>
    <row r="5" spans="1:7" ht="45.75" customHeight="1" x14ac:dyDescent="0.25">
      <c r="A5" s="4" t="s">
        <v>47</v>
      </c>
      <c r="B5" s="2" t="s">
        <v>90</v>
      </c>
      <c r="C5" s="2" t="s">
        <v>118</v>
      </c>
      <c r="D5" s="5" t="s">
        <v>51</v>
      </c>
      <c r="E5" s="5" t="s">
        <v>48</v>
      </c>
      <c r="F5" s="2" t="s">
        <v>128</v>
      </c>
      <c r="G5" s="10" t="s">
        <v>126</v>
      </c>
    </row>
    <row r="6" spans="1:7" ht="45.75" customHeight="1" x14ac:dyDescent="0.25">
      <c r="A6" s="4" t="s">
        <v>50</v>
      </c>
      <c r="B6" s="2" t="s">
        <v>129</v>
      </c>
      <c r="C6" s="2" t="s">
        <v>130</v>
      </c>
      <c r="D6" s="5" t="s">
        <v>51</v>
      </c>
      <c r="E6" s="5" t="s">
        <v>48</v>
      </c>
      <c r="F6" s="2" t="s">
        <v>131</v>
      </c>
      <c r="G6" s="10" t="s">
        <v>126</v>
      </c>
    </row>
    <row r="7" spans="1:7" ht="45.75" customHeight="1" x14ac:dyDescent="0.25">
      <c r="A7" s="7" t="s">
        <v>53</v>
      </c>
      <c r="B7" s="9" t="s">
        <v>115</v>
      </c>
      <c r="C7" s="9" t="s">
        <v>140</v>
      </c>
      <c r="D7" s="8" t="s">
        <v>51</v>
      </c>
      <c r="E7" s="8" t="s">
        <v>48</v>
      </c>
      <c r="F7" s="9" t="s">
        <v>141</v>
      </c>
      <c r="G7" s="10" t="s">
        <v>126</v>
      </c>
    </row>
    <row r="8" spans="1:7" ht="45.75" customHeight="1" x14ac:dyDescent="0.25">
      <c r="A8" s="4" t="s">
        <v>54</v>
      </c>
      <c r="B8" s="2" t="s">
        <v>97</v>
      </c>
      <c r="C8" s="2" t="s">
        <v>132</v>
      </c>
      <c r="D8" s="5" t="s">
        <v>51</v>
      </c>
      <c r="E8" s="5" t="s">
        <v>48</v>
      </c>
      <c r="F8" s="2" t="s">
        <v>133</v>
      </c>
      <c r="G8" s="10" t="s">
        <v>126</v>
      </c>
    </row>
    <row r="9" spans="1:7" ht="45.75" customHeight="1" x14ac:dyDescent="0.25">
      <c r="A9" s="7" t="s">
        <v>55</v>
      </c>
      <c r="B9" s="9" t="s">
        <v>101</v>
      </c>
      <c r="C9" s="9" t="s">
        <v>134</v>
      </c>
      <c r="D9" s="8" t="s">
        <v>51</v>
      </c>
      <c r="E9" s="8" t="s">
        <v>48</v>
      </c>
      <c r="F9" s="9" t="s">
        <v>135</v>
      </c>
      <c r="G9" s="10" t="s">
        <v>49</v>
      </c>
    </row>
    <row r="10" spans="1:7" ht="45.75" customHeight="1" x14ac:dyDescent="0.25">
      <c r="A10" s="4" t="s">
        <v>56</v>
      </c>
      <c r="B10" s="2" t="s">
        <v>104</v>
      </c>
      <c r="C10" s="2" t="s">
        <v>138</v>
      </c>
      <c r="D10" s="5" t="s">
        <v>51</v>
      </c>
      <c r="E10" s="5" t="s">
        <v>48</v>
      </c>
      <c r="F10" s="2" t="s">
        <v>139</v>
      </c>
      <c r="G10" s="10" t="s">
        <v>49</v>
      </c>
    </row>
    <row r="11" spans="1:7" ht="45.75" customHeight="1" x14ac:dyDescent="0.25">
      <c r="A11" s="7" t="s">
        <v>57</v>
      </c>
      <c r="B11" s="9" t="s">
        <v>107</v>
      </c>
      <c r="C11" s="9" t="s">
        <v>136</v>
      </c>
      <c r="D11" s="8" t="s">
        <v>51</v>
      </c>
      <c r="E11" s="8" t="s">
        <v>48</v>
      </c>
      <c r="F11" s="9" t="s">
        <v>137</v>
      </c>
      <c r="G11" s="10" t="s">
        <v>49</v>
      </c>
    </row>
    <row r="13" spans="1:7" x14ac:dyDescent="0.25">
      <c r="A13" s="25" t="s">
        <v>58</v>
      </c>
      <c r="B13" s="25"/>
      <c r="C13" s="25"/>
      <c r="D13" s="25"/>
      <c r="E13" s="25"/>
      <c r="F13" s="25"/>
      <c r="G13" s="1">
        <f>COUNTA(A5:A11)</f>
        <v>7</v>
      </c>
    </row>
  </sheetData>
  <mergeCells count="3">
    <mergeCell ref="A1:G1"/>
    <mergeCell ref="A2:G2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showGridLines="0" zoomScaleNormal="100" workbookViewId="0">
      <selection activeCell="F10" sqref="F10"/>
    </sheetView>
  </sheetViews>
  <sheetFormatPr baseColWidth="10" defaultColWidth="8.7109375" defaultRowHeight="15" x14ac:dyDescent="0.25"/>
  <cols>
    <col min="1" max="1" width="8" customWidth="1"/>
    <col min="2" max="2" width="34" customWidth="1"/>
    <col min="3" max="4" width="10" customWidth="1"/>
    <col min="5" max="5" width="12" customWidth="1"/>
    <col min="6" max="6" width="40" customWidth="1"/>
  </cols>
  <sheetData>
    <row r="1" spans="1:6" ht="27.75" customHeight="1" x14ac:dyDescent="0.25">
      <c r="A1" s="26" t="s">
        <v>59</v>
      </c>
      <c r="B1" s="26"/>
      <c r="C1" s="26"/>
      <c r="D1" s="26"/>
      <c r="E1" s="26"/>
      <c r="F1" s="26"/>
    </row>
    <row r="3" spans="1:6" ht="30" customHeight="1" x14ac:dyDescent="0.25">
      <c r="A3" s="3" t="s">
        <v>41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</row>
    <row r="4" spans="1:6" ht="39.75" customHeight="1" x14ac:dyDescent="0.25">
      <c r="A4" s="11" t="s">
        <v>65</v>
      </c>
      <c r="B4" s="2" t="s">
        <v>66</v>
      </c>
      <c r="C4" s="12" t="s">
        <v>52</v>
      </c>
      <c r="D4" s="12" t="s">
        <v>67</v>
      </c>
      <c r="E4" s="13" t="s">
        <v>68</v>
      </c>
      <c r="F4" s="2" t="s">
        <v>69</v>
      </c>
    </row>
    <row r="5" spans="1:6" ht="39.75" customHeight="1" x14ac:dyDescent="0.25">
      <c r="A5" s="14" t="s">
        <v>70</v>
      </c>
      <c r="B5" s="9" t="s">
        <v>71</v>
      </c>
      <c r="C5" s="15" t="s">
        <v>72</v>
      </c>
      <c r="D5" s="15" t="s">
        <v>73</v>
      </c>
      <c r="E5" s="16" t="s">
        <v>74</v>
      </c>
      <c r="F5" s="9" t="s">
        <v>75</v>
      </c>
    </row>
    <row r="6" spans="1:6" ht="39.75" customHeight="1" x14ac:dyDescent="0.25">
      <c r="A6" s="11" t="s">
        <v>76</v>
      </c>
      <c r="B6" s="2" t="s">
        <v>77</v>
      </c>
      <c r="C6" s="12" t="s">
        <v>52</v>
      </c>
      <c r="D6" s="12" t="s">
        <v>67</v>
      </c>
      <c r="E6" s="13" t="s">
        <v>68</v>
      </c>
      <c r="F6" s="2" t="s">
        <v>78</v>
      </c>
    </row>
    <row r="7" spans="1:6" ht="39.75" customHeight="1" x14ac:dyDescent="0.25">
      <c r="A7" s="14" t="s">
        <v>79</v>
      </c>
      <c r="B7" s="9" t="s">
        <v>80</v>
      </c>
      <c r="C7" s="15" t="s">
        <v>72</v>
      </c>
      <c r="D7" s="15" t="s">
        <v>67</v>
      </c>
      <c r="E7" s="13" t="s">
        <v>68</v>
      </c>
      <c r="F7" s="9" t="s">
        <v>81</v>
      </c>
    </row>
    <row r="8" spans="1:6" ht="39.75" customHeight="1" x14ac:dyDescent="0.25">
      <c r="A8" s="11" t="s">
        <v>82</v>
      </c>
      <c r="B8" s="2" t="s">
        <v>83</v>
      </c>
      <c r="C8" s="12" t="s">
        <v>72</v>
      </c>
      <c r="D8" s="12" t="s">
        <v>67</v>
      </c>
      <c r="E8" s="16" t="s">
        <v>74</v>
      </c>
      <c r="F8" s="2" t="s">
        <v>84</v>
      </c>
    </row>
    <row r="9" spans="1:6" ht="39.75" customHeight="1" x14ac:dyDescent="0.25">
      <c r="A9" s="14" t="s">
        <v>85</v>
      </c>
      <c r="B9" s="9" t="s">
        <v>86</v>
      </c>
      <c r="C9" s="15" t="s">
        <v>52</v>
      </c>
      <c r="D9" s="15" t="s">
        <v>73</v>
      </c>
      <c r="E9" s="16" t="s">
        <v>74</v>
      </c>
      <c r="F9" s="9" t="s">
        <v>87</v>
      </c>
    </row>
    <row r="10" spans="1:6" ht="39.75" customHeight="1" x14ac:dyDescent="0.25">
      <c r="A10" s="11" t="s">
        <v>88</v>
      </c>
      <c r="B10" s="2" t="s">
        <v>119</v>
      </c>
      <c r="C10" s="12" t="s">
        <v>52</v>
      </c>
      <c r="D10" s="12" t="s">
        <v>73</v>
      </c>
      <c r="E10" s="16" t="s">
        <v>74</v>
      </c>
      <c r="F10" s="2" t="s">
        <v>89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1230-96D1-4550-AA6C-FF55F9D71FBD}">
  <dimension ref="B4:B9"/>
  <sheetViews>
    <sheetView workbookViewId="0">
      <selection activeCell="B10" sqref="B10"/>
    </sheetView>
  </sheetViews>
  <sheetFormatPr baseColWidth="10" defaultRowHeight="15" x14ac:dyDescent="0.25"/>
  <sheetData>
    <row r="4" spans="2:2" x14ac:dyDescent="0.25">
      <c r="B4" t="s">
        <v>120</v>
      </c>
    </row>
    <row r="5" spans="2:2" x14ac:dyDescent="0.25">
      <c r="B5" t="s">
        <v>121</v>
      </c>
    </row>
    <row r="6" spans="2:2" x14ac:dyDescent="0.25">
      <c r="B6" t="s">
        <v>122</v>
      </c>
    </row>
    <row r="7" spans="2:2" x14ac:dyDescent="0.25">
      <c r="B7" t="s">
        <v>123</v>
      </c>
    </row>
    <row r="8" spans="2:2" x14ac:dyDescent="0.25">
      <c r="B8" t="s">
        <v>124</v>
      </c>
    </row>
    <row r="9" spans="2:2" x14ac:dyDescent="0.25">
      <c r="B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Cronograma_Tester</vt:lpstr>
      <vt:lpstr>Casos_de_Prueba</vt:lpstr>
      <vt:lpstr>Gestion_Riesgos</vt:lpstr>
      <vt:lpstr>medios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wgh aly</dc:creator>
  <dc:description/>
  <cp:lastModifiedBy>ALICIA GARCIA</cp:lastModifiedBy>
  <cp:revision>0</cp:revision>
  <dcterms:created xsi:type="dcterms:W3CDTF">2026-06-30T06:40:47Z</dcterms:created>
  <dcterms:modified xsi:type="dcterms:W3CDTF">2026-07-09T17:11:09Z</dcterms:modified>
  <dc:language>en-US</dc:language>
</cp:coreProperties>
</file>